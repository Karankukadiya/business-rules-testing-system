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" sheetId="1" state="visible" r:id="rId3"/>
    <sheet name="Test Data" sheetId="2" state="visible" r:id="rId4"/>
    <sheet name="Defect Data" sheetId="3" state="visible" r:id="rId5"/>
  </sheets>
  <definedNames>
    <definedName function="false" hidden="true" localSheetId="2" name="_xlnm._FilterDatabase" vbProcedure="false">'Defect Data'!$A$1:$B$5</definedName>
    <definedName function="false" hidden="true" localSheetId="1" name="_xlnm._FilterDatabase" vbProcedure="false">'Test Data'!$A$1:$C$41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<sst xmlns="http://schemas.openxmlformats.org/spreadsheetml/2006/main" count="159" uniqueCount="76">
  <si>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</si>
  <si>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</si>
  <si>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</si>
  <si>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</si>
  <si>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</si>
  <si>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Blocked</t>
  </si>
  <si>
    <t xml:space="preserve">Not Executed</t>
  </si>
  <si>
    <t xml:space="preserve">Pass percentage of executed tests</t>
  </si>
  <si>
    <t xml:space="preserve">Open sample defects</t>
  </si>
  <si>
    <t xml:space="preserve">Requirements covered</t>
  </si>
  <si>
    <t xml:space="preserve">Notes: 'Executed' = Pass + Fail. Pass % shows 0.0% until tests are executed. Open defects are SAMPLE data.</t>
  </si>
  <si>
    <t xml:space="preserve">Requirement coverage</t>
  </si>
  <si>
    <t xml:space="preserve">Requirement ID</t>
  </si>
  <si>
    <t xml:space="preserve">Test cases</t>
  </si>
  <si>
    <t xml:space="preserve">BR-01</t>
  </si>
  <si>
    <t xml:space="preserve">BR-02</t>
  </si>
  <si>
    <t xml:space="preserve">BR-03</t>
  </si>
  <si>
    <t xml:space="preserve">BR-04</t>
  </si>
  <si>
    <t xml:space="preserve">BR-05</t>
  </si>
  <si>
    <t xml:space="preserve">BR-06</t>
  </si>
  <si>
    <t xml:space="preserve">BR-07</t>
  </si>
  <si>
    <t xml:space="preserve">BR-08</t>
  </si>
  <si>
    <t xml:space="preserve">BR-09</t>
  </si>
  <si>
    <t xml:space="preserve">BR-10</t>
  </si>
  <si>
    <t xml:space="preserve">BR-11</t>
  </si>
  <si>
    <t xml:space="preserve">BR-12</t>
  </si>
  <si>
    <t xml:space="preserve">Test Case ID</t>
  </si>
  <si>
    <t xml:space="preserve">Status</t>
  </si>
  <si>
    <t xml:space="preserve">TC-001</t>
  </si>
  <si>
    <t xml:space="preserve">TC-002</t>
  </si>
  <si>
    <t xml:space="preserve">TC-003</t>
  </si>
  <si>
    <t xml:space="preserve">TC-004</t>
  </si>
  <si>
    <t xml:space="preserve">TC-005</t>
  </si>
  <si>
    <t xml:space="preserve">TC-006</t>
  </si>
  <si>
    <t xml:space="preserve">TC-007</t>
  </si>
  <si>
    <t xml:space="preserve">TC-008</t>
  </si>
  <si>
    <t xml:space="preserve">TC-009</t>
  </si>
  <si>
    <t xml:space="preserve">TC-010</t>
  </si>
  <si>
    <t xml:space="preserve">TC-011</t>
  </si>
  <si>
    <t xml:space="preserve">TC-012</t>
  </si>
  <si>
    <t xml:space="preserve">TC-013</t>
  </si>
  <si>
    <t xml:space="preserve">TC-014</t>
  </si>
  <si>
    <t xml:space="preserve">TC-015</t>
  </si>
  <si>
    <t xml:space="preserve">TC-016</t>
  </si>
  <si>
    <t xml:space="preserve">TC-017</t>
  </si>
  <si>
    <t xml:space="preserve">TC-018</t>
  </si>
  <si>
    <t xml:space="preserve">TC-019</t>
  </si>
  <si>
    <t xml:space="preserve">TC-020</t>
  </si>
  <si>
    <t xml:space="preserve">TC-021</t>
  </si>
  <si>
    <t xml:space="preserve">TC-022</t>
  </si>
  <si>
    <t xml:space="preserve">TC-023</t>
  </si>
  <si>
    <t xml:space="preserve">TC-024</t>
  </si>
  <si>
    <t xml:space="preserve">TC-025</t>
  </si>
  <si>
    <t xml:space="preserve">TC-026</t>
  </si>
  <si>
    <t xml:space="preserve">TC-027</t>
  </si>
  <si>
    <t xml:space="preserve">TC-028</t>
  </si>
  <si>
    <t xml:space="preserve">TC-029</t>
  </si>
  <si>
    <t xml:space="preserve">TC-030</t>
  </si>
  <si>
    <t xml:space="preserve">TC-031</t>
  </si>
  <si>
    <t xml:space="preserve">TC-032</t>
  </si>
  <si>
    <t xml:space="preserve">TC-033</t>
  </si>
  <si>
    <t xml:space="preserve">TC-034</t>
  </si>
  <si>
    <t xml:space="preserve">TC-035</t>
  </si>
  <si>
    <t xml:space="preserve">TC-036</t>
  </si>
  <si>
    <t xml:space="preserve">TC-037</t>
  </si>
  <si>
    <t xml:space="preserve">TC-038</t>
  </si>
  <si>
    <t xml:space="preserve">TC-039</t>
  </si>
  <si>
    <t xml:space="preserve">TC-040</t>
  </si>
  <si>
    <t xml:space="preserve">BR-01, BR-09, BR-10, BR-11</t>
  </si>
  <si>
    <t xml:space="preserve">Defect ID</t>
  </si>
  <si>
    <t xml:space="preserve">SAMPLE-DEF-001</t>
  </si>
  <si>
    <t xml:space="preserve">Open</t>
  </si>
  <si>
    <t xml:space="preserve">SAMPLE-DEF-002</t>
  </si>
  <si>
    <t xml:space="preserve">SAMPLE-DEF-003</t>
  </si>
  <si>
    <t xml:space="preserve">SAMPLE-DEF-004</t>
  </si>
  <si>
    <t xml:space="preserve">Fixed - Pending Retest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</si>
</sst>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COUNTA('Test Data'!A2:A500)</f>
        <v>40</v>
      </c>
    </row>
    <row r="3" customFormat="false" ht="15" hidden="false" customHeight="false" outlineLevel="0" collapsed="false">
      <c r="A3" s="2" t="s">
        <v>3</v>
      </c>
      <c r="B3" s="2" t="n">
        <f aca="false">COUNTIF('Test Data'!C2:C500,"Pass")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COUNTIF('Test Data'!C2:C500,"Fail")</f>
        <v>0</v>
      </c>
    </row>
    <row r="5" customFormat="false" ht="15" hidden="false" customHeight="false" outlineLevel="0" collapsed="false">
      <c r="A5" s="2" t="s">
        <v>5</v>
      </c>
      <c r="B5" s="2" t="n">
        <f aca="false">COUNTIF('Test Data'!C2:C500,"Blocked")</f>
        <v>0</v>
      </c>
    </row>
    <row r="6" customFormat="false" ht="15" hidden="false" customHeight="false" outlineLevel="0" collapsed="false">
      <c r="A6" s="2" t="s">
        <v>6</v>
      </c>
      <c r="B6" s="2" t="n">
        <f aca="false">COUNTIF('Test Data'!C2:C500,"Not Executed")</f>
        <v>40</v>
      </c>
    </row>
    <row r="7" customFormat="false" ht="15" hidden="false" customHeight="false" outlineLevel="0" collapsed="false">
      <c r="A7" s="2" t="s">
        <v>7</v>
      </c>
      <c r="B7" s="3" t="n">
        <f aca="false">IF((B3+B4)=0,0,B3/(B3+B4))</f>
        <v>0</v>
      </c>
    </row>
    <row r="8" customFormat="false" ht="15" hidden="false" customHeight="false" outlineLevel="0" collapsed="false">
      <c r="A8" s="2" t="s">
        <v>8</v>
      </c>
      <c r="B8" s="2" t="n">
        <f aca="false">COUNTIF('Defect Data'!B2:B500,"Open")</f>
        <v>3</v>
      </c>
    </row>
    <row r="9" customFormat="false" ht="15" hidden="false" customHeight="false" outlineLevel="0" collapsed="false">
      <c r="A9" s="2" t="s">
        <v>9</v>
      </c>
      <c r="B9" s="2" t="str">
        <f aca="false">COUNTIF(B14:B25,"&gt;0")&amp;" of 12"</f>
        <v>12 of 12</v>
      </c>
    </row>
    <row r="10" customFormat="false" ht="35.05" hidden="false" customHeight="false" outlineLevel="0" collapsed="false">
      <c r="A10" s="2" t="s">
        <v>10</v>
      </c>
      <c r="B10" s="2"/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4" t="s">
        <v>11</v>
      </c>
      <c r="B12" s="2"/>
    </row>
    <row r="13" customFormat="false" ht="15" hidden="false" customHeight="false" outlineLevel="0" collapsed="false">
      <c r="A13" s="5" t="s">
        <v>12</v>
      </c>
      <c r="B13" s="5" t="s">
        <v>13</v>
      </c>
    </row>
    <row r="14" customFormat="false" ht="15" hidden="false" customHeight="false" outlineLevel="0" collapsed="false">
      <c r="A14" s="2" t="s">
        <v>14</v>
      </c>
      <c r="B14" s="2" t="n">
        <f aca="false">COUNTIF('Test Data'!B2:B500,"*"&amp;A14&amp;"*")</f>
        <v>6</v>
      </c>
    </row>
    <row r="15" customFormat="false" ht="15" hidden="false" customHeight="false" outlineLevel="0" collapsed="false">
      <c r="A15" s="2" t="s">
        <v>15</v>
      </c>
      <c r="B15" s="2" t="n">
        <f aca="false">COUNTIF('Test Data'!B2:B500,"*"&amp;A15&amp;"*")</f>
        <v>3</v>
      </c>
    </row>
    <row r="16" customFormat="false" ht="15" hidden="false" customHeight="false" outlineLevel="0" collapsed="false">
      <c r="A16" s="2" t="s">
        <v>16</v>
      </c>
      <c r="B16" s="2" t="n">
        <f aca="false">COUNTIF('Test Data'!B2:B500,"*"&amp;A16&amp;"*")</f>
        <v>5</v>
      </c>
    </row>
    <row r="17" customFormat="false" ht="15" hidden="false" customHeight="false" outlineLevel="0" collapsed="false">
      <c r="A17" s="2" t="s">
        <v>17</v>
      </c>
      <c r="B17" s="2" t="n">
        <f aca="false">COUNTIF('Test Data'!B2:B500,"*"&amp;A17&amp;"*")</f>
        <v>6</v>
      </c>
    </row>
    <row r="18" customFormat="false" ht="15" hidden="false" customHeight="false" outlineLevel="0" collapsed="false">
      <c r="A18" s="2" t="s">
        <v>18</v>
      </c>
      <c r="B18" s="2" t="n">
        <f aca="false">COUNTIF('Test Data'!B2:B500,"*"&amp;A18&amp;"*")</f>
        <v>3</v>
      </c>
    </row>
    <row r="19" customFormat="false" ht="15" hidden="false" customHeight="false" outlineLevel="0" collapsed="false">
      <c r="A19" s="2" t="s">
        <v>19</v>
      </c>
      <c r="B19" s="2" t="n">
        <f aca="false">COUNTIF('Test Data'!B2:B500,"*"&amp;A19&amp;"*")</f>
        <v>2</v>
      </c>
    </row>
    <row r="20" customFormat="false" ht="15" hidden="false" customHeight="false" outlineLevel="0" collapsed="false">
      <c r="A20" s="2" t="s">
        <v>20</v>
      </c>
      <c r="B20" s="2" t="n">
        <f aca="false">COUNTIF('Test Data'!B2:B500,"*"&amp;A20&amp;"*")</f>
        <v>3</v>
      </c>
    </row>
    <row r="21" customFormat="false" ht="15" hidden="false" customHeight="false" outlineLevel="0" collapsed="false">
      <c r="A21" s="2" t="s">
        <v>21</v>
      </c>
      <c r="B21" s="2" t="n">
        <f aca="false">COUNTIF('Test Data'!B2:B500,"*"&amp;A21&amp;"*")</f>
        <v>2</v>
      </c>
    </row>
    <row r="22" customFormat="false" ht="15" hidden="false" customHeight="false" outlineLevel="0" collapsed="false">
      <c r="A22" s="2" t="s">
        <v>22</v>
      </c>
      <c r="B22" s="2" t="n">
        <f aca="false">COUNTIF('Test Data'!B2:B500,"*"&amp;A22&amp;"*")</f>
        <v>3</v>
      </c>
    </row>
    <row r="23" customFormat="false" ht="15" hidden="false" customHeight="false" outlineLevel="0" collapsed="false">
      <c r="A23" s="2" t="s">
        <v>23</v>
      </c>
      <c r="B23" s="2" t="n">
        <f aca="false">COUNTIF('Test Data'!B2:B500,"*"&amp;A23&amp;"*")</f>
        <v>4</v>
      </c>
    </row>
    <row r="24" customFormat="false" ht="15" hidden="false" customHeight="false" outlineLevel="0" collapsed="false">
      <c r="A24" s="2" t="s">
        <v>24</v>
      </c>
      <c r="B24" s="2" t="n">
        <f aca="false">COUNTIF('Test Data'!B2:B500,"*"&amp;A24&amp;"*")</f>
        <v>4</v>
      </c>
    </row>
    <row r="25" customFormat="false" ht="15" hidden="false" customHeight="false" outlineLevel="0" collapsed="false">
      <c r="A25" s="2" t="s">
        <v>25</v>
      </c>
      <c r="B25" s="2" t="n">
        <f aca="false">COUNTIF('Test Data'!B2:B500,"*"&amp;A25&amp;"*")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26</v>
      </c>
      <c r="B1" s="1" t="s">
        <v>12</v>
      </c>
      <c r="C1" s="1" t="s">
        <v>27</v>
      </c>
    </row>
    <row r="2" customFormat="false" ht="15" hidden="false" customHeight="false" outlineLevel="0" collapsed="false">
      <c r="A2" s="2" t="s">
        <v>28</v>
      </c>
      <c r="B2" s="2" t="s">
        <v>14</v>
      </c>
      <c r="C2" s="2" t="s">
        <v>6</v>
      </c>
    </row>
    <row r="3" customFormat="false" ht="15" hidden="false" customHeight="false" outlineLevel="0" collapsed="false">
      <c r="A3" s="2" t="s">
        <v>29</v>
      </c>
      <c r="B3" s="2" t="s">
        <v>14</v>
      </c>
      <c r="C3" s="2" t="s">
        <v>6</v>
      </c>
    </row>
    <row r="4" customFormat="false" ht="15" hidden="false" customHeight="false" outlineLevel="0" collapsed="false">
      <c r="A4" s="2" t="s">
        <v>30</v>
      </c>
      <c r="B4" s="2" t="s">
        <v>14</v>
      </c>
      <c r="C4" s="2" t="s">
        <v>6</v>
      </c>
    </row>
    <row r="5" customFormat="false" ht="15" hidden="false" customHeight="false" outlineLevel="0" collapsed="false">
      <c r="A5" s="2" t="s">
        <v>31</v>
      </c>
      <c r="B5" s="2" t="s">
        <v>14</v>
      </c>
      <c r="C5" s="2" t="s">
        <v>6</v>
      </c>
    </row>
    <row r="6" customFormat="false" ht="15" hidden="false" customHeight="false" outlineLevel="0" collapsed="false">
      <c r="A6" s="2" t="s">
        <v>32</v>
      </c>
      <c r="B6" s="2" t="s">
        <v>14</v>
      </c>
      <c r="C6" s="2" t="s">
        <v>6</v>
      </c>
    </row>
    <row r="7" customFormat="false" ht="15" hidden="false" customHeight="false" outlineLevel="0" collapsed="false">
      <c r="A7" s="2" t="s">
        <v>33</v>
      </c>
      <c r="B7" s="2" t="s">
        <v>15</v>
      </c>
      <c r="C7" s="2" t="s">
        <v>6</v>
      </c>
    </row>
    <row r="8" customFormat="false" ht="15" hidden="false" customHeight="false" outlineLevel="0" collapsed="false">
      <c r="A8" s="2" t="s">
        <v>34</v>
      </c>
      <c r="B8" s="2" t="s">
        <v>15</v>
      </c>
      <c r="C8" s="2" t="s">
        <v>6</v>
      </c>
    </row>
    <row r="9" customFormat="false" ht="15" hidden="false" customHeight="false" outlineLevel="0" collapsed="false">
      <c r="A9" s="2" t="s">
        <v>35</v>
      </c>
      <c r="B9" s="2" t="s">
        <v>15</v>
      </c>
      <c r="C9" s="2" t="s">
        <v>6</v>
      </c>
    </row>
    <row r="10" customFormat="false" ht="15" hidden="false" customHeight="false" outlineLevel="0" collapsed="false">
      <c r="A10" s="2" t="s">
        <v>36</v>
      </c>
      <c r="B10" s="2" t="s">
        <v>16</v>
      </c>
      <c r="C10" s="2" t="s">
        <v>6</v>
      </c>
    </row>
    <row r="11" customFormat="false" ht="15" hidden="false" customHeight="false" outlineLevel="0" collapsed="false">
      <c r="A11" s="2" t="s">
        <v>37</v>
      </c>
      <c r="B11" s="2" t="s">
        <v>16</v>
      </c>
      <c r="C11" s="2" t="s">
        <v>6</v>
      </c>
    </row>
    <row r="12" customFormat="false" ht="15" hidden="false" customHeight="false" outlineLevel="0" collapsed="false">
      <c r="A12" s="2" t="s">
        <v>38</v>
      </c>
      <c r="B12" s="2" t="s">
        <v>16</v>
      </c>
      <c r="C12" s="2" t="s">
        <v>6</v>
      </c>
    </row>
    <row r="13" customFormat="false" ht="15" hidden="false" customHeight="false" outlineLevel="0" collapsed="false">
      <c r="A13" s="2" t="s">
        <v>39</v>
      </c>
      <c r="B13" s="2" t="s">
        <v>16</v>
      </c>
      <c r="C13" s="2" t="s">
        <v>6</v>
      </c>
    </row>
    <row r="14" customFormat="false" ht="15" hidden="false" customHeight="false" outlineLevel="0" collapsed="false">
      <c r="A14" s="2" t="s">
        <v>40</v>
      </c>
      <c r="B14" s="2" t="s">
        <v>16</v>
      </c>
      <c r="C14" s="2" t="s">
        <v>6</v>
      </c>
    </row>
    <row r="15" customFormat="false" ht="15" hidden="false" customHeight="false" outlineLevel="0" collapsed="false">
      <c r="A15" s="2" t="s">
        <v>41</v>
      </c>
      <c r="B15" s="2" t="s">
        <v>17</v>
      </c>
      <c r="C15" s="2" t="s">
        <v>6</v>
      </c>
    </row>
    <row r="16" customFormat="false" ht="15" hidden="false" customHeight="false" outlineLevel="0" collapsed="false">
      <c r="A16" s="2" t="s">
        <v>42</v>
      </c>
      <c r="B16" s="2" t="s">
        <v>17</v>
      </c>
      <c r="C16" s="2" t="s">
        <v>6</v>
      </c>
    </row>
    <row r="17" customFormat="false" ht="15" hidden="false" customHeight="false" outlineLevel="0" collapsed="false">
      <c r="A17" s="2" t="s">
        <v>43</v>
      </c>
      <c r="B17" s="2" t="s">
        <v>17</v>
      </c>
      <c r="C17" s="2" t="s">
        <v>6</v>
      </c>
    </row>
    <row r="18" customFormat="false" ht="15" hidden="false" customHeight="false" outlineLevel="0" collapsed="false">
      <c r="A18" s="2" t="s">
        <v>44</v>
      </c>
      <c r="B18" s="2" t="s">
        <v>17</v>
      </c>
      <c r="C18" s="2" t="s">
        <v>6</v>
      </c>
    </row>
    <row r="19" customFormat="false" ht="15" hidden="false" customHeight="false" outlineLevel="0" collapsed="false">
      <c r="A19" s="2" t="s">
        <v>45</v>
      </c>
      <c r="B19" s="2" t="s">
        <v>17</v>
      </c>
      <c r="C19" s="2" t="s">
        <v>6</v>
      </c>
    </row>
    <row r="20" customFormat="false" ht="15" hidden="false" customHeight="false" outlineLevel="0" collapsed="false">
      <c r="A20" s="2" t="s">
        <v>46</v>
      </c>
      <c r="B20" s="2" t="s">
        <v>17</v>
      </c>
      <c r="C20" s="2" t="s">
        <v>6</v>
      </c>
    </row>
    <row r="21" customFormat="false" ht="15" hidden="false" customHeight="false" outlineLevel="0" collapsed="false">
      <c r="A21" s="2" t="s">
        <v>47</v>
      </c>
      <c r="B21" s="2" t="s">
        <v>18</v>
      </c>
      <c r="C21" s="2" t="s">
        <v>6</v>
      </c>
    </row>
    <row r="22" customFormat="false" ht="15" hidden="false" customHeight="false" outlineLevel="0" collapsed="false">
      <c r="A22" s="2" t="s">
        <v>48</v>
      </c>
      <c r="B22" s="2" t="s">
        <v>18</v>
      </c>
      <c r="C22" s="2" t="s">
        <v>6</v>
      </c>
    </row>
    <row r="23" customFormat="false" ht="15" hidden="false" customHeight="false" outlineLevel="0" collapsed="false">
      <c r="A23" s="2" t="s">
        <v>49</v>
      </c>
      <c r="B23" s="2" t="s">
        <v>18</v>
      </c>
      <c r="C23" s="2" t="s">
        <v>6</v>
      </c>
    </row>
    <row r="24" customFormat="false" ht="15" hidden="false" customHeight="false" outlineLevel="0" collapsed="false">
      <c r="A24" s="2" t="s">
        <v>50</v>
      </c>
      <c r="B24" s="2" t="s">
        <v>19</v>
      </c>
      <c r="C24" s="2" t="s">
        <v>6</v>
      </c>
    </row>
    <row r="25" customFormat="false" ht="15" hidden="false" customHeight="false" outlineLevel="0" collapsed="false">
      <c r="A25" s="2" t="s">
        <v>51</v>
      </c>
      <c r="B25" s="2" t="s">
        <v>19</v>
      </c>
      <c r="C25" s="2" t="s">
        <v>6</v>
      </c>
    </row>
    <row r="26" customFormat="false" ht="15" hidden="false" customHeight="false" outlineLevel="0" collapsed="false">
      <c r="A26" s="2" t="s">
        <v>52</v>
      </c>
      <c r="B26" s="2" t="s">
        <v>20</v>
      </c>
      <c r="C26" s="2" t="s">
        <v>6</v>
      </c>
    </row>
    <row r="27" customFormat="false" ht="15" hidden="false" customHeight="false" outlineLevel="0" collapsed="false">
      <c r="A27" s="2" t="s">
        <v>53</v>
      </c>
      <c r="B27" s="2" t="s">
        <v>20</v>
      </c>
      <c r="C27" s="2" t="s">
        <v>6</v>
      </c>
    </row>
    <row r="28" customFormat="false" ht="15" hidden="false" customHeight="false" outlineLevel="0" collapsed="false">
      <c r="A28" s="2" t="s">
        <v>54</v>
      </c>
      <c r="B28" s="2" t="s">
        <v>20</v>
      </c>
      <c r="C28" s="2" t="s">
        <v>6</v>
      </c>
    </row>
    <row r="29" customFormat="false" ht="15" hidden="false" customHeight="false" outlineLevel="0" collapsed="false">
      <c r="A29" s="2" t="s">
        <v>55</v>
      </c>
      <c r="B29" s="2" t="s">
        <v>21</v>
      </c>
      <c r="C29" s="2" t="s">
        <v>6</v>
      </c>
    </row>
    <row r="30" customFormat="false" ht="15" hidden="false" customHeight="false" outlineLevel="0" collapsed="false">
      <c r="A30" s="2" t="s">
        <v>56</v>
      </c>
      <c r="B30" s="2" t="s">
        <v>21</v>
      </c>
      <c r="C30" s="2" t="s">
        <v>6</v>
      </c>
    </row>
    <row r="31" customFormat="false" ht="15" hidden="false" customHeight="false" outlineLevel="0" collapsed="false">
      <c r="A31" s="2" t="s">
        <v>57</v>
      </c>
      <c r="B31" s="2" t="s">
        <v>22</v>
      </c>
      <c r="C31" s="2" t="s">
        <v>6</v>
      </c>
    </row>
    <row r="32" customFormat="false" ht="15" hidden="false" customHeight="false" outlineLevel="0" collapsed="false">
      <c r="A32" s="2" t="s">
        <v>58</v>
      </c>
      <c r="B32" s="2" t="s">
        <v>22</v>
      </c>
      <c r="C32" s="2" t="s">
        <v>6</v>
      </c>
    </row>
    <row r="33" customFormat="false" ht="15" hidden="false" customHeight="false" outlineLevel="0" collapsed="false">
      <c r="A33" s="2" t="s">
        <v>59</v>
      </c>
      <c r="B33" s="2" t="s">
        <v>23</v>
      </c>
      <c r="C33" s="2" t="s">
        <v>6</v>
      </c>
    </row>
    <row r="34" customFormat="false" ht="15" hidden="false" customHeight="false" outlineLevel="0" collapsed="false">
      <c r="A34" s="2" t="s">
        <v>60</v>
      </c>
      <c r="B34" s="2" t="s">
        <v>23</v>
      </c>
      <c r="C34" s="2" t="s">
        <v>6</v>
      </c>
    </row>
    <row r="35" customFormat="false" ht="15" hidden="false" customHeight="false" outlineLevel="0" collapsed="false">
      <c r="A35" s="2" t="s">
        <v>61</v>
      </c>
      <c r="B35" s="2" t="s">
        <v>23</v>
      </c>
      <c r="C35" s="2" t="s">
        <v>6</v>
      </c>
    </row>
    <row r="36" customFormat="false" ht="15" hidden="false" customHeight="false" outlineLevel="0" collapsed="false">
      <c r="A36" s="2" t="s">
        <v>62</v>
      </c>
      <c r="B36" s="2" t="s">
        <v>24</v>
      </c>
      <c r="C36" s="2" t="s">
        <v>6</v>
      </c>
    </row>
    <row r="37" customFormat="false" ht="15" hidden="false" customHeight="false" outlineLevel="0" collapsed="false">
      <c r="A37" s="2" t="s">
        <v>63</v>
      </c>
      <c r="B37" s="2" t="s">
        <v>24</v>
      </c>
      <c r="C37" s="2" t="s">
        <v>6</v>
      </c>
    </row>
    <row r="38" customFormat="false" ht="15" hidden="false" customHeight="false" outlineLevel="0" collapsed="false">
      <c r="A38" s="2" t="s">
        <v>64</v>
      </c>
      <c r="B38" s="2" t="s">
        <v>24</v>
      </c>
      <c r="C38" s="2" t="s">
        <v>6</v>
      </c>
    </row>
    <row r="39" customFormat="false" ht="15" hidden="false" customHeight="false" outlineLevel="0" collapsed="false">
      <c r="A39" s="2" t="s">
        <v>65</v>
      </c>
      <c r="B39" s="2" t="s">
        <v>25</v>
      </c>
      <c r="C39" s="2" t="s">
        <v>6</v>
      </c>
    </row>
    <row r="40" customFormat="false" ht="15" hidden="false" customHeight="false" outlineLevel="0" collapsed="false">
      <c r="A40" s="2" t="s">
        <v>66</v>
      </c>
      <c r="B40" s="2" t="s">
        <v>25</v>
      </c>
      <c r="C40" s="2" t="s">
        <v>6</v>
      </c>
    </row>
    <row r="41" customFormat="false" ht="15" hidden="false" customHeight="false" outlineLevel="0" collapsed="false">
      <c r="A41" s="2" t="s">
        <v>67</v>
      </c>
      <c r="B41" s="2" t="s">
        <v>68</v>
      </c>
      <c r="C41" s="2" t="s">
        <v>6</v>
      </c>
    </row>
  </sheetData>
  <autoFilter ref="A1:C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69</v>
      </c>
      <c r="B1" s="1" t="s">
        <v>27</v>
      </c>
    </row>
    <row r="2" customFormat="false" ht="15" hidden="false" customHeight="false" outlineLevel="0" collapsed="false">
      <c r="A2" s="2" t="s">
        <v>70</v>
      </c>
      <c r="B2" s="2" t="s">
        <v>71</v>
      </c>
    </row>
    <row r="3" customFormat="false" ht="15" hidden="false" customHeight="false" outlineLevel="0" collapsed="false">
      <c r="A3" s="2" t="s">
        <v>72</v>
      </c>
      <c r="B3" s="2" t="s">
        <v>71</v>
      </c>
    </row>
    <row r="4" customFormat="false" ht="15" hidden="false" customHeight="false" outlineLevel="0" collapsed="false">
      <c r="A4" s="2" t="s">
        <v>73</v>
      </c>
      <c r="B4" s="2" t="s">
        <v>71</v>
      </c>
    </row>
    <row r="5" customFormat="false" ht="15" hidden="false" customHeight="false" outlineLevel="0" collapsed="false">
      <c r="A5" s="2" t="s">
        <v>74</v>
      </c>
      <c r="B5" s="2" t="s">
        <v>75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2026-10-28T11:30:03Z</dcterms:created>
  <dc:creator>openpyxl</dc:creator>
  <dc:description/>
  <dc:language>en-US</dc:language>
  <cp:lastModifiedBy/>
  <dcterms:modified xsi:type="dcterms:W3CDTF">2026-10-28T11:30:03Z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